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6992\Downloads\"/>
    </mc:Choice>
  </mc:AlternateContent>
  <xr:revisionPtr revIDLastSave="0" documentId="13_ncr:1_{4E1AA18F-8290-4136-A06E-6E6DCE7BCC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①기본정보" sheetId="1" r:id="rId1"/>
    <sheet name="②소득공제" sheetId="2" r:id="rId2"/>
    <sheet name="③세액공제" sheetId="3" r:id="rId3"/>
    <sheet name="④결과요약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4" l="1"/>
  <c r="C26" i="4" s="1"/>
  <c r="C24" i="4"/>
  <c r="D24" i="3"/>
  <c r="D23" i="3"/>
  <c r="C23" i="3"/>
  <c r="D22" i="3"/>
  <c r="C22" i="3"/>
  <c r="D21" i="3"/>
  <c r="C21" i="3"/>
  <c r="C20" i="3"/>
  <c r="D19" i="3"/>
  <c r="C19" i="3"/>
  <c r="C15" i="3"/>
  <c r="D15" i="3" s="1"/>
  <c r="B8" i="3"/>
  <c r="C7" i="3"/>
  <c r="D6" i="3"/>
  <c r="D29" i="2"/>
  <c r="D28" i="2"/>
  <c r="D27" i="2"/>
  <c r="D26" i="2"/>
  <c r="C22" i="2"/>
  <c r="D22" i="2" s="1"/>
  <c r="C21" i="2"/>
  <c r="B25" i="4" s="1"/>
  <c r="C12" i="2"/>
  <c r="B24" i="4" s="1"/>
  <c r="B12" i="2"/>
  <c r="B13" i="2" s="1"/>
  <c r="D10" i="2"/>
  <c r="D9" i="2"/>
  <c r="D8" i="2"/>
  <c r="D7" i="2"/>
  <c r="D6" i="2"/>
  <c r="B15" i="1"/>
  <c r="B14" i="1"/>
  <c r="B13" i="1"/>
  <c r="B12" i="1"/>
  <c r="B11" i="1"/>
  <c r="B7" i="1"/>
  <c r="B5" i="4" s="1"/>
  <c r="B6" i="4" l="1"/>
  <c r="B7" i="4"/>
  <c r="D7" i="3"/>
  <c r="B9" i="3" s="1"/>
  <c r="D26" i="3" s="1"/>
  <c r="B11" i="4" s="1"/>
  <c r="B14" i="2"/>
  <c r="B17" i="2" s="1"/>
  <c r="D31" i="2" s="1"/>
  <c r="B8" i="4" s="1"/>
  <c r="B9" i="4" s="1"/>
  <c r="B15" i="2"/>
  <c r="D20" i="3"/>
  <c r="D21" i="2"/>
  <c r="B16" i="2"/>
  <c r="B13" i="4" l="1"/>
  <c r="C25" i="4" s="1"/>
  <c r="B10" i="4"/>
  <c r="B12" i="4" s="1"/>
  <c r="B17" i="4" s="1"/>
  <c r="B10" i="3"/>
  <c r="B11" i="3" l="1"/>
  <c r="C23" i="4" s="1"/>
  <c r="B23" i="4"/>
  <c r="B19" i="4"/>
  <c r="B18" i="4"/>
</calcChain>
</file>

<file path=xl/sharedStrings.xml><?xml version="1.0" encoding="utf-8"?>
<sst xmlns="http://schemas.openxmlformats.org/spreadsheetml/2006/main" count="192" uniqueCount="177">
  <si>
    <t>연말정산 셀프체크 계산 템플릿</t>
  </si>
  <si>
    <t>모든 금액 단위: 만원  |  노란색 셀만 입력하세요 (파란 글씨 = 입력값, 검정 = 자동계산)</t>
  </si>
  <si>
    <t>명목 총보수 (연봉 + 성과급 + 각종 수당)</t>
  </si>
  <si>
    <t>원천징수영수증이 없으면 급여명세서 12개월 합계</t>
  </si>
  <si>
    <t>연간 비과세소득 (식대 월20만=240, 자가운전보조금 등)</t>
  </si>
  <si>
    <t>식대 비과세 월 20만원 = 연 240만원이 가장 흔함</t>
  </si>
  <si>
    <t>▶ 세법상 총급여 (자동계산)</t>
  </si>
  <si>
    <t>모든 공제 자격의 기준 금액</t>
  </si>
  <si>
    <t>경계선</t>
  </si>
  <si>
    <t>판정</t>
  </si>
  <si>
    <t>이 경계를 넘으면 달라지는 것</t>
  </si>
  <si>
    <t>총급여 5,000만원</t>
  </si>
  <si>
    <t>총급여 5,500만원</t>
  </si>
  <si>
    <t>연금계좌 공제율 16.5%→13.2% / 월세 공제율 17%→15%</t>
  </si>
  <si>
    <t>총급여 7,000만원</t>
  </si>
  <si>
    <t>신용카드 기본한도 300→250 / 문화비 공제 제외 / 청약·전세대출 소득공제 자격 상실</t>
  </si>
  <si>
    <t>총급여 7,500만원</t>
  </si>
  <si>
    <t>청년도약계좌 가입 상한</t>
  </si>
  <si>
    <t>총급여 8,000만원</t>
  </si>
  <si>
    <t>월세 세액공제 자격 상실</t>
  </si>
  <si>
    <t>무주택 세대주인가? (12/31 기준)</t>
  </si>
  <si>
    <t>Y</t>
  </si>
  <si>
    <t>주택자금 공제 3종(청약·전세대출·월세)의 공통 관문</t>
  </si>
  <si>
    <t>월세로 거주 중인가?</t>
  </si>
  <si>
    <t>월세 세액공제 대상 여부</t>
  </si>
  <si>
    <t>전세(반전세)대출 상환 중인가?</t>
  </si>
  <si>
    <t>N</t>
  </si>
  <si>
    <t>주택임차차입금 원리금 공제 대상 여부</t>
  </si>
  <si>
    <t>중소기업 재직 + 만 34세 이하인가?</t>
  </si>
  <si>
    <t>중소기업취업자 소득세 감면 90% (연 200만 한도, 최대 5년)</t>
  </si>
  <si>
    <t>올해(2024~2026) 혼인신고 했는가/할 예정인가?</t>
  </si>
  <si>
    <t>결혼 세액공제 50만원 (생애 1회)</t>
  </si>
  <si>
    <t>※ 범례: 노란색+파란글씨 = 직접 입력 | 회색 = 항목명 | 초록색 = 핵심 결과 | 검정 숫자 = 자동계산(수정 금지)</t>
  </si>
  <si>
    <t>② 소득공제 셀프체크 — 과세표준을 깎는 항목 (절세효과 = 공제액 × 내 세율)</t>
  </si>
  <si>
    <t>단위: 만원 | 노란색 셀에 올해 사용/납입 금액 입력</t>
  </si>
  <si>
    <t>구분</t>
  </si>
  <si>
    <t>올해 사용액</t>
  </si>
  <si>
    <t>공제율</t>
  </si>
  <si>
    <t>환산액</t>
  </si>
  <si>
    <t>최대로 받는 법</t>
  </si>
  <si>
    <t>신용카드</t>
  </si>
  <si>
    <t>총급여 25%(=문턱)까지는 혜택 좋은 신용카드 사용</t>
  </si>
  <si>
    <t>체크카드 + 현금영수증</t>
  </si>
  <si>
    <t>문턱 넘긴 후엔 체크/현금으로 전환 (공제율 2배)</t>
  </si>
  <si>
    <t>전통시장</t>
  </si>
  <si>
    <t>추가한도 적용 — 명절 장보기 등</t>
  </si>
  <si>
    <t>대중교통</t>
  </si>
  <si>
    <t>추가한도 적용 — KTX·고속버스 포함</t>
  </si>
  <si>
    <t>문화비 (도서·공연·영화 등)</t>
  </si>
  <si>
    <t>총급여 7,000만 이하만 인정</t>
  </si>
  <si>
    <t>총 사용액 / 공제 문턱(총급여 25%)</t>
  </si>
  <si>
    <t>문턱을 못 넘으면 카드 공제 0원</t>
  </si>
  <si>
    <t>문턱 통과 여부</t>
  </si>
  <si>
    <t>일반 공제액 (문턱 차감 후, 근사)</t>
  </si>
  <si>
    <t>문턱은 공제율 낮은 신용카드분부터 차감(국세청 방식 근사)</t>
  </si>
  <si>
    <t>일반 공제 한도</t>
  </si>
  <si>
    <t>총급여 7,000만 초과 시 250만으로 축소</t>
  </si>
  <si>
    <t>전통시장·대중교통 추가공제</t>
  </si>
  <si>
    <t>추가한도 별도 적용</t>
  </si>
  <si>
    <t>▶ 카드 소득공제 합계</t>
  </si>
  <si>
    <t>항목</t>
  </si>
  <si>
    <t>올해 납입/상환액</t>
  </si>
  <si>
    <t>자격</t>
  </si>
  <si>
    <t>공제액</t>
  </si>
  <si>
    <t>주택청약종합저축 납입액</t>
  </si>
  <si>
    <t>연 300만 납입 시 공제 최대(120만) — 월 25만 자동이체</t>
  </si>
  <si>
    <t>전세대출 원리금 상환액 (원금+이자)</t>
  </si>
  <si>
    <t>상환액의 40%, 청약저축과 합산 연 400만 한도</t>
  </si>
  <si>
    <t>금액</t>
  </si>
  <si>
    <t>메모</t>
  </si>
  <si>
    <t>본인 기본공제 (자동)</t>
  </si>
  <si>
    <t>전 근로자 자동 적용</t>
  </si>
  <si>
    <t>부양가족 수 (소득요건 충족자만)</t>
  </si>
  <si>
    <t>국민연금 보험료 (원천징수영수증 확인)</t>
  </si>
  <si>
    <t>총급여 6,500만 기준 대략 연 290~300만 (전액 공제)</t>
  </si>
  <si>
    <t>우리사주조합 출연금</t>
  </si>
  <si>
    <t>연 400만 한도</t>
  </si>
  <si>
    <t>▶▶ 소득공제 총합계 (건보·고용보험 등 제외한 선택항목)</t>
  </si>
  <si>
    <t>※ 건강·고용보험료도 전액 소득공제되지만 회사가 자동 반영하므로 이 표에서는 생략 (결과요약 시트에서 근사 반영)</t>
  </si>
  <si>
    <t>③ 세액공제 셀프체크 — 세금을 직접 깎는 항목 (공제액 = 환급액)</t>
  </si>
  <si>
    <t>단위: 만원 | 표기 공제율은 지방소득세 10% 포함 체감 기준</t>
  </si>
  <si>
    <t>올해 납입액</t>
  </si>
  <si>
    <t>인정 한도</t>
  </si>
  <si>
    <t>공제대상액</t>
  </si>
  <si>
    <t>연금저축(펀드) 납입</t>
  </si>
  <si>
    <t>월 50만 자동이체 = 연 600만 딱 맞춤</t>
  </si>
  <si>
    <t>연금저축과 합산 900만까지만 공제 인정</t>
  </si>
  <si>
    <t>적용 공제율 (총급여 5,500만 기준 자동)</t>
  </si>
  <si>
    <t>▶ 예상 환급액</t>
  </si>
  <si>
    <t>한도까지 남은 납입 여력</t>
  </si>
  <si>
    <t>추가 납입 시 늘어나는 환급액</t>
  </si>
  <si>
    <t>지금 더 넣으면 이만큼 더 돌려받음</t>
  </si>
  <si>
    <t>자격/공제율</t>
  </si>
  <si>
    <t>환급액</t>
  </si>
  <si>
    <t>월 임차료 (관리비 제외)</t>
  </si>
  <si>
    <t>올해 지출액</t>
  </si>
  <si>
    <t>계산 기준</t>
  </si>
  <si>
    <t>보장성보험료 (실손·자동차 등)</t>
  </si>
  <si>
    <t>의료비 총지출</t>
  </si>
  <si>
    <t>총급여 3% 초과분만 16.5% — 안경·렌즈(50만/인)·산후조리원도 포함</t>
  </si>
  <si>
    <t>본인 교육비 (대학원·학자금대출 상환)</t>
  </si>
  <si>
    <t>본인 지출은 한도 없이 16.5%</t>
  </si>
  <si>
    <t>고향사랑기부금</t>
  </si>
  <si>
    <t>일반 기부금</t>
  </si>
  <si>
    <t>정치자금·특례기부는 별도 우대율</t>
  </si>
  <si>
    <t>결혼 세액공제 (2024~26 혼인신고, 생애 1회)</t>
  </si>
  <si>
    <t>①기본정보의 Y/N에 따라 자동 반영</t>
  </si>
  <si>
    <t>▶▶ 세액공제 총합계 (= 예상 환급 기여액)</t>
  </si>
  <si>
    <t>※ 중소기업취업자 감면(청년 90%, 연 200만 한도)은 회사 제출 방식이라 별도 — ①기본정보에서 Y면 결과요약에 안내 표시</t>
  </si>
  <si>
    <t>총급여</t>
  </si>
  <si>
    <t>①기본정보에서 자동</t>
  </si>
  <si>
    <t>법정 산식 — 자동</t>
  </si>
  <si>
    <t>실제로는 원천징수영수증 값 사용</t>
  </si>
  <si>
    <t>②시트에서 자동</t>
  </si>
  <si>
    <t>→ 추정 과세표준</t>
  </si>
  <si>
    <t>③시트에서 자동</t>
  </si>
  <si>
    <t>체크 항목</t>
  </si>
  <si>
    <t>남은 여력</t>
  </si>
  <si>
    <t>추가 환급</t>
  </si>
  <si>
    <t>행동</t>
  </si>
  <si>
    <t>카드 공제 문턱까지 남은 사용액</t>
  </si>
  <si>
    <t>문턱 미달이면 큰 지출을 올해로 당기기</t>
  </si>
  <si>
    <t>안 했으면 지금 — 답례품까지 무조건 이득</t>
  </si>
  <si>
    <t>STEP 1. 내 총급여 확인 (세법 기준은 '연봉'이 아니라 '총급여')</t>
  </si>
  <si>
    <t>STEP 2. 소득 경계선 자동 판정</t>
  </si>
  <si>
    <t>ISA 서민형 자격 (이하일 때만 가능, 비과세 한도 2배)</t>
  </si>
  <si>
    <t>STEP 3. 자격 요건 체크 (Y / N 선택)</t>
  </si>
  <si>
    <t>A. 신용카드 등 사용금액 소득공제</t>
  </si>
  <si>
    <t>B. 주택자금 소득공제 (무주택 세대주 + 총급여 7,000만 이하)</t>
  </si>
  <si>
    <t>C. 그 외 소득공제</t>
  </si>
  <si>
    <t>1인당 150만 — 연소득 100만 초과 가족 넣으면 가산세!</t>
  </si>
  <si>
    <t>A. 연금계좌 세액공제 — 직장인 절세 1순위</t>
  </si>
  <si>
    <t>IRP 추가 납입</t>
  </si>
  <si>
    <t>5,500만 이하 16.5% / 초과 13.2%</t>
  </si>
  <si>
    <t>900만 채우면 최대 (13.2% 기준 118.8만)</t>
  </si>
  <si>
    <t>12/31까지 납입분이 올해 공제 — 연말 필살기</t>
  </si>
  <si>
    <t>B. 월세 세액공제 (총급여 8,000만 이하 + 무주택)</t>
  </si>
  <si>
    <t>연 1,000만 한도 | 5,500 이하 18.7% / 초과 16.5% (지방세 포함) 
| 계약서·이체내역 준비</t>
    <phoneticPr fontId="9" type="noConversion"/>
  </si>
  <si>
    <t>C. 그 외 세액공제</t>
  </si>
  <si>
    <t>13.2% — 한도 100만은 실손 하나로 대부분 채워짐</t>
  </si>
  <si>
    <t>10만원까지 100% 환급 + 답례품 3만원 = 무조건 이득</t>
  </si>
  <si>
    <t>④ 결과 요약 — 환급이야, 납부야?</t>
  </si>
  <si>
    <t>단위: 만원 | 간이 추정치 — 실제 결정세액은 홈택스 '연말정산 미리보기'로 최종 확인</t>
  </si>
  <si>
    <t>A. 세금 계산 흐름 (간이 추정)</t>
  </si>
  <si>
    <t>(-) 근로소득공제 (자동 산식)</t>
  </si>
  <si>
    <t>(-) 건강·고용보험료 근사 (총급여 4.5%)</t>
  </si>
  <si>
    <t>(-) 선택 소득공제 합계</t>
  </si>
  <si>
    <t>× 세율 → 산출세액 (누진 산식)</t>
  </si>
  <si>
    <t>국세 기준 (지방세 별도 10%)</t>
  </si>
  <si>
    <t>(-) 세액공제 합계</t>
  </si>
  <si>
    <t>→ 추정 결정세액 (국세)</t>
  </si>
  <si>
    <t>'올해 내야 할 세금의 최종 확정값' — 새로 내는 돈이 아님!</t>
  </si>
  <si>
    <t>▶ 내 한계세율 (다음 1만원 소득에 붙는 세율)</t>
  </si>
  <si>
    <t>지방세 포함 — 소득공제 1만원의 가치 = 이 세율만큼</t>
  </si>
  <si>
    <t>B. 이미 낸 세금과 비교 → 환급/납부 판정</t>
  </si>
  <si>
    <t>올해 원천징수된 소득세 합계 (기납부세액)</t>
  </si>
  <si>
    <t>급여명세서 '소득세' 항목 12개월 합 (지방소득세는 빼고!) — 상여월 포함</t>
  </si>
  <si>
    <t>▶▶ 예상 환급액 (+) / 추가납부액 (-)</t>
  </si>
  <si>
    <t>기납부세액 - 결정세액 (국세 기준)</t>
  </si>
  <si>
    <t>환급이면 2~3월 급여에 얹혀서 들어옴 (13월의 월급)</t>
  </si>
  <si>
    <t>지방소득세 포함 체감 금액 (×1.1)</t>
  </si>
  <si>
    <t>지방소득세(국세의 10%)도 같은 비율로 정산되므로 실제 체감액은 이 값</t>
  </si>
  <si>
    <t>C. 연말 전 액션 체크리스트</t>
    <phoneticPr fontId="9" type="noConversion"/>
  </si>
  <si>
    <t>연금저축+IRP 한도까지 추가 납입</t>
  </si>
  <si>
    <t>12/31 전 납입 — 가장 확실한 환급 카드</t>
  </si>
  <si>
    <t>청약저축 공제한도(300만)까지 남은 납입</t>
  </si>
  <si>
    <t>무주택 세대주 + 총급여 7,000만 이하일 때만</t>
  </si>
  <si>
    <t>고향사랑기부금 10만원</t>
  </si>
  <si>
    <t>D. 놓치기 쉬운 항목 최종 점검 (해당되면 O 표시하며 확인)</t>
  </si>
  <si>
    <t>☐  간소화 서비스 누락 단골: 월세, 안경·렌즈 구입비, 중고생 교복, 취학전 학원비, 기부금</t>
  </si>
  <si>
    <t>☐  성과급으로 총급여 7,000만 초과한 해 → 카드 한도 축소·청약 공제 상실 → 연금계좌로 만회</t>
  </si>
  <si>
    <t>☐  중소기업 취업 청년(만 34세 이하)이면 소득세 90% 감면(연 200만) — 회사에 감면신청서 제출했는지</t>
  </si>
  <si>
    <t>☐  과거 5년 내 놓친 공제는 '경정청구'로 소급 환급 가능 (홈택스에서 신청)</t>
  </si>
  <si>
    <t>☐  부양가족 등록 전 소득 100만원(근로소득만 있으면 총급여 500만) 초과 여부 확인 — 과다공제 가산세 주의</t>
  </si>
  <si>
    <t>☐  맞벌이가 되면: 의료비는 소득 낮은 쪽, 신용카드는 문턱 넘기 쉬운 쪽으로 몰기</t>
  </si>
  <si>
    <t>☐  내년 4월 건보료 연말정산: 성과급 받은 해 다음엔 추가 징수 가능 — 비상금으로 대비</t>
  </si>
  <si>
    <t>※ 본 템플릿은 2026년 기준 간이 계산이며 세무 자문이 아닙니다. 원천징수세액의 정확한 값은 홈택스 '지급명세서' 또는 회사 원천징수영수증에서 확인.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</si>
</sst>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+#,##0;\-#,##0;0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LG스마트체 Light"/>
      <family val="3"/>
      <charset val="129"/>
    </font>
    <font>
      <sz val="11"/>
      <color theme="1"/>
      <name val="LG스마트체 Light"/>
      <family val="3"/>
      <charset val="129"/>
    </font>
    <font>
      <i/>
      <sz val="9"/>
      <color rgb="FF808080"/>
      <name val="LG스마트체 Light"/>
      <family val="3"/>
      <charset val="129"/>
    </font>
    <font>
      <b/>
      <sz val="10.5"/>
      <color rgb="FFFFFFFF"/>
      <name val="LG스마트체 Light"/>
      <family val="3"/>
      <charset val="129"/>
    </font>
    <font>
      <sz val="10"/>
      <name val="LG스마트체 Light"/>
      <family val="3"/>
      <charset val="129"/>
    </font>
    <font>
      <b/>
      <sz val="10"/>
      <color rgb="FF0000FF"/>
      <name val="LG스마트체 Light"/>
      <family val="3"/>
      <charset val="129"/>
    </font>
    <font>
      <b/>
      <sz val="10"/>
      <name val="LG스마트체 Light"/>
      <family val="3"/>
      <charset val="129"/>
    </font>
    <font>
      <b/>
      <sz val="11"/>
      <color rgb="FFFFFFFF"/>
      <name val="LG스마트체 Light"/>
      <family val="3"/>
      <charset val="129"/>
    </font>
    <font>
      <sz val="8"/>
      <name val="돋움"/>
      <family val="3"/>
      <charset val="129"/>
    </font>
    <font>
      <b/>
      <sz val="12"/>
      <color rgb="FF1F3864"/>
      <name val="LG스마트체 Light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2" fillId="5" borderId="1" xfId="0" applyFont="1" applyFill="1" applyBorder="1"/>
    <xf numFmtId="176" fontId="5" fillId="0" borderId="1" xfId="0" applyNumberFormat="1" applyFont="1" applyBorder="1" applyAlignment="1">
      <alignment horizontal="right" vertical="center"/>
    </xf>
    <xf numFmtId="176" fontId="7" fillId="5" borderId="1" xfId="0" applyNumberFormat="1" applyFont="1" applyFill="1" applyBorder="1" applyAlignment="1">
      <alignment horizontal="right" vertical="center"/>
    </xf>
    <xf numFmtId="177" fontId="10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abSelected="1" zoomScaleNormal="100" workbookViewId="0"/>
  </sheetViews>
  <sheetFormatPr defaultColWidth="8.7109375" defaultRowHeight="15" x14ac:dyDescent="0.25"/>
  <cols>
    <col min="1" max="1" width="58.7109375" customWidth="1"/>
    <col min="2" max="2" width="16" customWidth="1"/>
    <col min="3" max="3" width="14" customWidth="1"/>
    <col min="4" max="4" width="52" customWidth="1"/>
    <col min="5" max="5" width="4" customWidth="1"/>
  </cols>
  <sheetData>
    <row r="1" spans="1:4" ht="17.25" customHeight="1" x14ac:dyDescent="0.25">
      <c r="A1" s="1" t="s">
        <v>0</v>
      </c>
      <c r="B1" s="2"/>
      <c r="C1" s="2"/>
      <c r="D1" s="2"/>
    </row>
    <row r="2" spans="1:4" ht="15" customHeight="1" x14ac:dyDescent="0.25">
      <c r="A2" s="3" t="s">
        <v>1</v>
      </c>
      <c r="B2" s="2"/>
      <c r="C2" s="2"/>
      <c r="D2" s="2"/>
    </row>
    <row r="3" spans="1:4" x14ac:dyDescent="0.25">
      <c r="A3" s="2"/>
      <c r="B3" s="2"/>
      <c r="C3" s="2"/>
      <c r="D3" s="2"/>
    </row>
    <row r="4" spans="1:4" ht="30.75" customHeight="1" x14ac:dyDescent="0.25">
      <c r="A4" s="4" t="s">
        <v>123</v>
      </c>
      <c r="B4" s="5"/>
      <c r="C4" s="5"/>
      <c r="D4" s="5"/>
    </row>
    <row r="5" spans="1:4" ht="15" customHeight="1" x14ac:dyDescent="0.25">
      <c r="A5" s="6" t="s">
        <v>2</v>
      </c>
      <c r="B5" s="7">
        <v>6800</v>
      </c>
      <c r="C5" s="2"/>
      <c r="D5" s="8" t="s">
        <v>3</v>
      </c>
    </row>
    <row r="6" spans="1:4" ht="29.25" customHeight="1" x14ac:dyDescent="0.25">
      <c r="A6" s="6" t="s">
        <v>4</v>
      </c>
      <c r="B6" s="7">
        <v>240</v>
      </c>
      <c r="C6" s="2"/>
      <c r="D6" s="8" t="s">
        <v>5</v>
      </c>
    </row>
    <row r="7" spans="1:4" ht="15" customHeight="1" x14ac:dyDescent="0.25">
      <c r="A7" s="9" t="s">
        <v>6</v>
      </c>
      <c r="B7" s="10">
        <f>B5-B6</f>
        <v>6560</v>
      </c>
      <c r="C7" s="2"/>
      <c r="D7" s="8" t="s">
        <v>7</v>
      </c>
    </row>
    <row r="8" spans="1:4" x14ac:dyDescent="0.25">
      <c r="A8" s="2"/>
      <c r="B8" s="2"/>
      <c r="C8" s="2"/>
      <c r="D8" s="2"/>
    </row>
    <row r="9" spans="1:4" ht="15.75" customHeight="1" x14ac:dyDescent="0.25">
      <c r="A9" s="4" t="s">
        <v>124</v>
      </c>
      <c r="B9" s="5"/>
      <c r="C9" s="5"/>
      <c r="D9" s="5"/>
    </row>
    <row r="10" spans="1:4" ht="16.5" customHeight="1" x14ac:dyDescent="0.25">
      <c r="A10" s="11" t="s">
        <v>8</v>
      </c>
      <c r="B10" s="12" t="s">
        <v>9</v>
      </c>
      <c r="C10" s="12"/>
      <c r="D10" s="11" t="s">
        <v>10</v>
      </c>
    </row>
    <row r="11" spans="1:4" ht="15" customHeight="1" x14ac:dyDescent="0.25">
      <c r="A11" s="6" t="s">
        <v>11</v>
      </c>
      <c r="B11" s="13" t="str">
        <f>IF($B$7&lt;=5000,"이하 ✓","초과 ✗")</f>
        <v>초과 ✗</v>
      </c>
      <c r="C11" s="13"/>
      <c r="D11" s="14" t="s">
        <v>125</v>
      </c>
    </row>
    <row r="12" spans="1:4" ht="15" customHeight="1" x14ac:dyDescent="0.25">
      <c r="A12" s="6" t="s">
        <v>12</v>
      </c>
      <c r="B12" s="13" t="str">
        <f>IF($B$7&lt;=5500,"이하 ✓","초과 ✗")</f>
        <v>초과 ✗</v>
      </c>
      <c r="C12" s="13"/>
      <c r="D12" s="14" t="s">
        <v>13</v>
      </c>
    </row>
    <row r="13" spans="1:4" ht="29.25" customHeight="1" x14ac:dyDescent="0.25">
      <c r="A13" s="6" t="s">
        <v>14</v>
      </c>
      <c r="B13" s="13" t="str">
        <f>IF($B$7&lt;=7000,"이하 ✓","초과 ✗")</f>
        <v>이하 ✓</v>
      </c>
      <c r="C13" s="13"/>
      <c r="D13" s="14" t="s">
        <v>15</v>
      </c>
    </row>
    <row r="14" spans="1:4" ht="15" customHeight="1" x14ac:dyDescent="0.25">
      <c r="A14" s="6" t="s">
        <v>16</v>
      </c>
      <c r="B14" s="13" t="str">
        <f>IF($B$7&lt;=7500,"이하 ✓","초과 ✗")</f>
        <v>이하 ✓</v>
      </c>
      <c r="C14" s="13"/>
      <c r="D14" s="14" t="s">
        <v>17</v>
      </c>
    </row>
    <row r="15" spans="1:4" ht="15" customHeight="1" x14ac:dyDescent="0.25">
      <c r="A15" s="6" t="s">
        <v>18</v>
      </c>
      <c r="B15" s="13" t="str">
        <f>IF($B$7&lt;=8000,"이하 ✓","초과 ✗")</f>
        <v>이하 ✓</v>
      </c>
      <c r="C15" s="13"/>
      <c r="D15" s="14" t="s">
        <v>19</v>
      </c>
    </row>
    <row r="16" spans="1:4" x14ac:dyDescent="0.25">
      <c r="A16" s="2"/>
      <c r="B16" s="2"/>
      <c r="C16" s="2"/>
      <c r="D16" s="2"/>
    </row>
    <row r="17" spans="1:4" ht="15.75" customHeight="1" x14ac:dyDescent="0.25">
      <c r="A17" s="4" t="s">
        <v>126</v>
      </c>
      <c r="B17" s="5"/>
      <c r="C17" s="5"/>
      <c r="D17" s="5"/>
    </row>
    <row r="18" spans="1:4" ht="15" customHeight="1" x14ac:dyDescent="0.25">
      <c r="A18" s="6" t="s">
        <v>20</v>
      </c>
      <c r="B18" s="15" t="s">
        <v>21</v>
      </c>
      <c r="C18" s="2"/>
      <c r="D18" s="8" t="s">
        <v>22</v>
      </c>
    </row>
    <row r="19" spans="1:4" ht="15" customHeight="1" x14ac:dyDescent="0.25">
      <c r="A19" s="6" t="s">
        <v>23</v>
      </c>
      <c r="B19" s="15" t="s">
        <v>21</v>
      </c>
      <c r="C19" s="2"/>
      <c r="D19" s="8" t="s">
        <v>24</v>
      </c>
    </row>
    <row r="20" spans="1:4" ht="15" customHeight="1" x14ac:dyDescent="0.25">
      <c r="A20" s="6" t="s">
        <v>25</v>
      </c>
      <c r="B20" s="15" t="s">
        <v>26</v>
      </c>
      <c r="C20" s="2"/>
      <c r="D20" s="8" t="s">
        <v>27</v>
      </c>
    </row>
    <row r="21" spans="1:4" ht="15" customHeight="1" x14ac:dyDescent="0.25">
      <c r="A21" s="6" t="s">
        <v>28</v>
      </c>
      <c r="B21" s="15" t="s">
        <v>26</v>
      </c>
      <c r="C21" s="2"/>
      <c r="D21" s="8" t="s">
        <v>29</v>
      </c>
    </row>
    <row r="22" spans="1:4" ht="29.25" customHeight="1" x14ac:dyDescent="0.25">
      <c r="A22" s="6" t="s">
        <v>30</v>
      </c>
      <c r="B22" s="15" t="s">
        <v>26</v>
      </c>
      <c r="C22" s="2"/>
      <c r="D22" s="8" t="s">
        <v>31</v>
      </c>
    </row>
    <row r="23" spans="1:4" x14ac:dyDescent="0.25">
      <c r="A23" s="2"/>
      <c r="B23" s="2"/>
      <c r="C23" s="2"/>
      <c r="D23" s="2"/>
    </row>
    <row r="24" spans="1:4" ht="15" customHeight="1" x14ac:dyDescent="0.25">
      <c r="A24" s="3" t="s">
        <v>32</v>
      </c>
      <c r="B24" s="2"/>
      <c r="C24" s="2"/>
      <c r="D24" s="2"/>
    </row>
  </sheetData>
  <mergeCells count="6">
    <mergeCell ref="B15:C15"/>
    <mergeCell ref="B10:C10"/>
    <mergeCell ref="B11:C11"/>
    <mergeCell ref="B12:C12"/>
    <mergeCell ref="B13:C13"/>
    <mergeCell ref="B14:C14"/>
  </mergeCells>
  <phoneticPr fontId="9" type="noConversion"/>
  <dataValidations count="1">
    <dataValidation type="list" sqref="B18:B22" xr:uid="{00000000-0002-0000-00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55.5703125" customWidth="1"/>
    <col min="2" max="4" width="13" customWidth="1"/>
    <col min="5" max="5" width="49.140625" customWidth="1"/>
    <col min="6" max="6" width="4" customWidth="1"/>
  </cols>
  <sheetData>
    <row r="1" spans="1:5" ht="21" customHeight="1" x14ac:dyDescent="0.25">
      <c r="A1" s="1" t="s">
        <v>33</v>
      </c>
      <c r="B1" s="2"/>
      <c r="C1" s="2"/>
      <c r="D1" s="2"/>
      <c r="E1" s="2"/>
    </row>
    <row r="2" spans="1:5" ht="15" customHeight="1" x14ac:dyDescent="0.25">
      <c r="A2" s="3" t="s">
        <v>34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ht="15.75" customHeight="1" x14ac:dyDescent="0.25">
      <c r="A4" s="4" t="s">
        <v>127</v>
      </c>
      <c r="B4" s="5"/>
      <c r="C4" s="5"/>
      <c r="D4" s="5"/>
      <c r="E4" s="5"/>
    </row>
    <row r="5" spans="1:5" ht="16.5" customHeight="1" x14ac:dyDescent="0.25">
      <c r="A5" s="11" t="s">
        <v>35</v>
      </c>
      <c r="B5" s="11" t="s">
        <v>36</v>
      </c>
      <c r="C5" s="11" t="s">
        <v>37</v>
      </c>
      <c r="D5" s="11" t="s">
        <v>38</v>
      </c>
      <c r="E5" s="11" t="s">
        <v>39</v>
      </c>
    </row>
    <row r="6" spans="1:5" ht="15" customHeight="1" x14ac:dyDescent="0.25">
      <c r="A6" s="6" t="s">
        <v>40</v>
      </c>
      <c r="B6" s="7">
        <v>1400</v>
      </c>
      <c r="C6" s="16">
        <v>0.15</v>
      </c>
      <c r="D6" s="17">
        <f>B6*C6</f>
        <v>210</v>
      </c>
      <c r="E6" s="18" t="s">
        <v>41</v>
      </c>
    </row>
    <row r="7" spans="1:5" ht="15" customHeight="1" x14ac:dyDescent="0.25">
      <c r="A7" s="6" t="s">
        <v>42</v>
      </c>
      <c r="B7" s="7">
        <v>500</v>
      </c>
      <c r="C7" s="16">
        <v>0.3</v>
      </c>
      <c r="D7" s="17">
        <f>B7*C7</f>
        <v>150</v>
      </c>
      <c r="E7" s="18" t="s">
        <v>43</v>
      </c>
    </row>
    <row r="8" spans="1:5" ht="15" customHeight="1" x14ac:dyDescent="0.25">
      <c r="A8" s="6" t="s">
        <v>44</v>
      </c>
      <c r="B8" s="7">
        <v>50</v>
      </c>
      <c r="C8" s="16">
        <v>0.4</v>
      </c>
      <c r="D8" s="17">
        <f>B8*C8</f>
        <v>20</v>
      </c>
      <c r="E8" s="18" t="s">
        <v>45</v>
      </c>
    </row>
    <row r="9" spans="1:5" ht="15" customHeight="1" x14ac:dyDescent="0.25">
      <c r="A9" s="6" t="s">
        <v>46</v>
      </c>
      <c r="B9" s="7">
        <v>80</v>
      </c>
      <c r="C9" s="16">
        <v>0.4</v>
      </c>
      <c r="D9" s="17">
        <f>B9*C9</f>
        <v>32</v>
      </c>
      <c r="E9" s="18" t="s">
        <v>47</v>
      </c>
    </row>
    <row r="10" spans="1:5" ht="15" customHeight="1" x14ac:dyDescent="0.25">
      <c r="A10" s="6" t="s">
        <v>48</v>
      </c>
      <c r="B10" s="7">
        <v>30</v>
      </c>
      <c r="C10" s="16">
        <v>0.3</v>
      </c>
      <c r="D10" s="17">
        <f>B10*C10</f>
        <v>9</v>
      </c>
      <c r="E10" s="18" t="s">
        <v>49</v>
      </c>
    </row>
    <row r="11" spans="1:5" x14ac:dyDescent="0.25">
      <c r="A11" s="2"/>
      <c r="B11" s="2"/>
      <c r="C11" s="2"/>
      <c r="D11" s="2"/>
      <c r="E11" s="2"/>
    </row>
    <row r="12" spans="1:5" ht="15" customHeight="1" x14ac:dyDescent="0.25">
      <c r="A12" s="6" t="s">
        <v>50</v>
      </c>
      <c r="B12" s="17">
        <f>SUM(B6:B10)</f>
        <v>2060</v>
      </c>
      <c r="C12" s="17">
        <f>①기본정보!$B$7*0.25</f>
        <v>1640</v>
      </c>
      <c r="D12" s="2"/>
      <c r="E12" s="18" t="s">
        <v>51</v>
      </c>
    </row>
    <row r="13" spans="1:5" ht="15" customHeight="1" x14ac:dyDescent="0.25">
      <c r="A13" s="6" t="s">
        <v>52</v>
      </c>
      <c r="B13" s="19" t="str">
        <f>IF(B12&gt;=C12,"통과 ✓","미달 — "&amp;TEXT(C12-B12,"#,##0")&amp;"만원 더 써야 시작")</f>
        <v>통과 ✓</v>
      </c>
      <c r="C13" s="19"/>
      <c r="D13" s="19"/>
      <c r="E13" s="18"/>
    </row>
    <row r="14" spans="1:5" ht="15" customHeight="1" x14ac:dyDescent="0.25">
      <c r="A14" s="6" t="s">
        <v>53</v>
      </c>
      <c r="B14" s="19">
        <f>MAX(0, B6*0.15 + B7*0.3 + IF(①기본정보!$B$7&lt;=7000,B10*0.3,0) - IF(B6&gt;=C12, C12*0.15, B6*0.15 + (C12-B6)*0.3))</f>
        <v>87</v>
      </c>
      <c r="C14" s="19"/>
      <c r="D14" s="19"/>
      <c r="E14" s="18" t="s">
        <v>54</v>
      </c>
    </row>
    <row r="15" spans="1:5" ht="15" customHeight="1" x14ac:dyDescent="0.25">
      <c r="A15" s="6" t="s">
        <v>55</v>
      </c>
      <c r="B15" s="19">
        <f>IF(①기본정보!$B$7&lt;=7000,300,250)</f>
        <v>300</v>
      </c>
      <c r="C15" s="19"/>
      <c r="D15" s="19"/>
      <c r="E15" s="18" t="s">
        <v>56</v>
      </c>
    </row>
    <row r="16" spans="1:5" ht="15" customHeight="1" x14ac:dyDescent="0.25">
      <c r="A16" s="6" t="s">
        <v>57</v>
      </c>
      <c r="B16" s="19">
        <f>MIN(B8*0.4+B9*0.4, IF(①기본정보!$B$7&lt;=7000,300,200))</f>
        <v>52</v>
      </c>
      <c r="C16" s="19"/>
      <c r="D16" s="19"/>
      <c r="E16" s="18" t="s">
        <v>58</v>
      </c>
    </row>
    <row r="17" spans="1:5" ht="15" customHeight="1" x14ac:dyDescent="0.25">
      <c r="A17" s="9" t="s">
        <v>59</v>
      </c>
      <c r="B17" s="20">
        <f>IF(B13="통과 ✓", MIN(B14,B15)+B16, 0)</f>
        <v>139</v>
      </c>
      <c r="C17" s="20"/>
      <c r="D17" s="20"/>
      <c r="E17" s="21"/>
    </row>
    <row r="18" spans="1:5" x14ac:dyDescent="0.25">
      <c r="A18" s="2"/>
      <c r="B18" s="2"/>
      <c r="C18" s="2"/>
      <c r="D18" s="2"/>
      <c r="E18" s="2"/>
    </row>
    <row r="19" spans="1:5" ht="30.75" customHeight="1" x14ac:dyDescent="0.25">
      <c r="A19" s="4" t="s">
        <v>128</v>
      </c>
      <c r="B19" s="5"/>
      <c r="C19" s="5"/>
      <c r="D19" s="5"/>
      <c r="E19" s="5"/>
    </row>
    <row r="20" spans="1:5" ht="32.25" customHeight="1" x14ac:dyDescent="0.25">
      <c r="A20" s="11" t="s">
        <v>60</v>
      </c>
      <c r="B20" s="11" t="s">
        <v>61</v>
      </c>
      <c r="C20" s="11" t="s">
        <v>62</v>
      </c>
      <c r="D20" s="11" t="s">
        <v>63</v>
      </c>
      <c r="E20" s="11" t="s">
        <v>39</v>
      </c>
    </row>
    <row r="21" spans="1:5" ht="15" customHeight="1" x14ac:dyDescent="0.25">
      <c r="A21" s="6" t="s">
        <v>64</v>
      </c>
      <c r="B21" s="7">
        <v>240</v>
      </c>
      <c r="C21" s="22" t="str">
        <f>IF(AND(①기본정보!$B$7&lt;=7000,①기본정보!$B$18="Y"),"○","✗")</f>
        <v>○</v>
      </c>
      <c r="D21" s="17">
        <f>IF(C21="○", MIN(B21,300)*0.4, 0)</f>
        <v>96</v>
      </c>
      <c r="E21" s="18" t="s">
        <v>65</v>
      </c>
    </row>
    <row r="22" spans="1:5" ht="15" customHeight="1" x14ac:dyDescent="0.25">
      <c r="A22" s="6" t="s">
        <v>66</v>
      </c>
      <c r="B22" s="7">
        <v>0</v>
      </c>
      <c r="C22" s="22" t="str">
        <f>IF(AND(①기본정보!$B$18="Y",①기본정보!$B$20="Y"),"○","✗")</f>
        <v>✗</v>
      </c>
      <c r="D22" s="17">
        <f>IF(C22="○", MIN(B22*0.4, 400-D21), 0)</f>
        <v>0</v>
      </c>
      <c r="E22" s="18" t="s">
        <v>67</v>
      </c>
    </row>
    <row r="23" spans="1:5" x14ac:dyDescent="0.25">
      <c r="A23" s="2"/>
      <c r="B23" s="2"/>
      <c r="C23" s="2"/>
      <c r="D23" s="2"/>
      <c r="E23" s="2"/>
    </row>
    <row r="24" spans="1:5" ht="15.75" customHeight="1" x14ac:dyDescent="0.25">
      <c r="A24" s="4" t="s">
        <v>129</v>
      </c>
      <c r="B24" s="5"/>
      <c r="C24" s="5"/>
      <c r="D24" s="5"/>
      <c r="E24" s="5"/>
    </row>
    <row r="25" spans="1:5" ht="16.5" customHeight="1" x14ac:dyDescent="0.25">
      <c r="A25" s="11" t="s">
        <v>60</v>
      </c>
      <c r="B25" s="11" t="s">
        <v>68</v>
      </c>
      <c r="C25" s="11"/>
      <c r="D25" s="11" t="s">
        <v>63</v>
      </c>
      <c r="E25" s="11" t="s">
        <v>69</v>
      </c>
    </row>
    <row r="26" spans="1:5" ht="15" customHeight="1" x14ac:dyDescent="0.25">
      <c r="A26" s="6" t="s">
        <v>70</v>
      </c>
      <c r="B26" s="21"/>
      <c r="C26" s="21"/>
      <c r="D26" s="17">
        <f>150</f>
        <v>150</v>
      </c>
      <c r="E26" s="18" t="s">
        <v>71</v>
      </c>
    </row>
    <row r="27" spans="1:5" ht="15" customHeight="1" x14ac:dyDescent="0.25">
      <c r="A27" s="6" t="s">
        <v>72</v>
      </c>
      <c r="B27" s="7">
        <v>0</v>
      </c>
      <c r="C27" s="21"/>
      <c r="D27" s="17">
        <f>B27*150</f>
        <v>0</v>
      </c>
      <c r="E27" s="18" t="s">
        <v>130</v>
      </c>
    </row>
    <row r="28" spans="1:5" ht="15" customHeight="1" x14ac:dyDescent="0.25">
      <c r="A28" s="6" t="s">
        <v>73</v>
      </c>
      <c r="B28" s="7">
        <v>300</v>
      </c>
      <c r="C28" s="21"/>
      <c r="D28" s="17">
        <f>B28</f>
        <v>300</v>
      </c>
      <c r="E28" s="18" t="s">
        <v>74</v>
      </c>
    </row>
    <row r="29" spans="1:5" ht="15" customHeight="1" x14ac:dyDescent="0.25">
      <c r="A29" s="6" t="s">
        <v>75</v>
      </c>
      <c r="B29" s="7">
        <v>0</v>
      </c>
      <c r="C29" s="21"/>
      <c r="D29" s="17">
        <f>MIN(B29,400)</f>
        <v>0</v>
      </c>
      <c r="E29" s="18" t="s">
        <v>76</v>
      </c>
    </row>
    <row r="30" spans="1:5" x14ac:dyDescent="0.25">
      <c r="A30" s="2"/>
      <c r="B30" s="2"/>
      <c r="C30" s="2"/>
      <c r="D30" s="2"/>
      <c r="E30" s="2"/>
    </row>
    <row r="31" spans="1:5" ht="29.25" customHeight="1" x14ac:dyDescent="0.25">
      <c r="A31" s="9" t="s">
        <v>77</v>
      </c>
      <c r="B31" s="23"/>
      <c r="C31" s="23"/>
      <c r="D31" s="10">
        <f>B17+D21+D22+SUM(D26:D29)</f>
        <v>685</v>
      </c>
      <c r="E31" s="21"/>
    </row>
    <row r="32" spans="1:5" x14ac:dyDescent="0.25">
      <c r="A32" s="2"/>
      <c r="B32" s="2"/>
      <c r="C32" s="2"/>
      <c r="D32" s="2"/>
      <c r="E32" s="2"/>
    </row>
    <row r="33" spans="1:5" ht="15" customHeight="1" x14ac:dyDescent="0.25">
      <c r="A33" s="3" t="s">
        <v>78</v>
      </c>
      <c r="B33" s="2"/>
      <c r="C33" s="2"/>
      <c r="D33" s="2"/>
      <c r="E33" s="2"/>
    </row>
  </sheetData>
  <mergeCells count="5">
    <mergeCell ref="B13:D13"/>
    <mergeCell ref="B14:D14"/>
    <mergeCell ref="B15:D15"/>
    <mergeCell ref="B16:D16"/>
    <mergeCell ref="B17:D17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zoomScaleNormal="100" workbookViewId="0">
      <selection activeCell="C26" sqref="C26"/>
    </sheetView>
  </sheetViews>
  <sheetFormatPr defaultColWidth="8.7109375" defaultRowHeight="15" x14ac:dyDescent="0.25"/>
  <cols>
    <col min="1" max="1" width="43.42578125" customWidth="1"/>
    <col min="2" max="4" width="13" customWidth="1"/>
    <col min="5" max="5" width="57.7109375" customWidth="1"/>
    <col min="6" max="6" width="4" customWidth="1"/>
  </cols>
  <sheetData>
    <row r="1" spans="1:5" ht="21" customHeight="1" x14ac:dyDescent="0.25">
      <c r="A1" s="1" t="s">
        <v>79</v>
      </c>
      <c r="B1" s="2"/>
      <c r="C1" s="2"/>
      <c r="D1" s="2"/>
      <c r="E1" s="2"/>
    </row>
    <row r="2" spans="1:5" ht="15" customHeight="1" x14ac:dyDescent="0.25">
      <c r="A2" s="3" t="s">
        <v>80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ht="30.75" customHeight="1" x14ac:dyDescent="0.25">
      <c r="A4" s="4" t="s">
        <v>131</v>
      </c>
      <c r="B4" s="5"/>
      <c r="C4" s="5"/>
      <c r="D4" s="5"/>
      <c r="E4" s="5"/>
    </row>
    <row r="5" spans="1:5" ht="16.5" customHeight="1" x14ac:dyDescent="0.25">
      <c r="A5" s="11" t="s">
        <v>60</v>
      </c>
      <c r="B5" s="11" t="s">
        <v>81</v>
      </c>
      <c r="C5" s="11" t="s">
        <v>82</v>
      </c>
      <c r="D5" s="11" t="s">
        <v>83</v>
      </c>
      <c r="E5" s="11" t="s">
        <v>39</v>
      </c>
    </row>
    <row r="6" spans="1:5" ht="15" customHeight="1" x14ac:dyDescent="0.25">
      <c r="A6" s="6" t="s">
        <v>84</v>
      </c>
      <c r="B6" s="7">
        <v>600</v>
      </c>
      <c r="C6" s="17">
        <v>600</v>
      </c>
      <c r="D6" s="17">
        <f>MIN(B6,C6)</f>
        <v>600</v>
      </c>
      <c r="E6" s="18" t="s">
        <v>85</v>
      </c>
    </row>
    <row r="7" spans="1:5" ht="15" customHeight="1" x14ac:dyDescent="0.25">
      <c r="A7" s="6" t="s">
        <v>132</v>
      </c>
      <c r="B7" s="7">
        <v>300</v>
      </c>
      <c r="C7" s="22" t="str">
        <f>"합산 "&amp;900</f>
        <v>합산 900</v>
      </c>
      <c r="D7" s="17">
        <f>MIN(D6+B7,900)-D6</f>
        <v>300</v>
      </c>
      <c r="E7" s="18" t="s">
        <v>86</v>
      </c>
    </row>
    <row r="8" spans="1:5" ht="15" customHeight="1" x14ac:dyDescent="0.25">
      <c r="A8" s="6" t="s">
        <v>87</v>
      </c>
      <c r="B8" s="24">
        <f>IF(①기본정보!$B$7&lt;=5500,0.165,0.132)</f>
        <v>0.13200000000000001</v>
      </c>
      <c r="C8" s="21"/>
      <c r="D8" s="21"/>
      <c r="E8" s="18" t="s">
        <v>133</v>
      </c>
    </row>
    <row r="9" spans="1:5" ht="15" customHeight="1" x14ac:dyDescent="0.25">
      <c r="A9" s="9" t="s">
        <v>88</v>
      </c>
      <c r="B9" s="10">
        <f>(D6+D7)*B8</f>
        <v>118.80000000000001</v>
      </c>
      <c r="C9" s="23"/>
      <c r="D9" s="23"/>
      <c r="E9" s="18" t="s">
        <v>134</v>
      </c>
    </row>
    <row r="10" spans="1:5" ht="15" customHeight="1" x14ac:dyDescent="0.25">
      <c r="A10" s="6" t="s">
        <v>89</v>
      </c>
      <c r="B10" s="17">
        <f>900-D6-D7</f>
        <v>0</v>
      </c>
      <c r="C10" s="21"/>
      <c r="D10" s="21"/>
      <c r="E10" s="18" t="s">
        <v>135</v>
      </c>
    </row>
    <row r="11" spans="1:5" ht="15" customHeight="1" x14ac:dyDescent="0.25">
      <c r="A11" s="6" t="s">
        <v>90</v>
      </c>
      <c r="B11" s="17">
        <f>B10*B8</f>
        <v>0</v>
      </c>
      <c r="C11" s="21"/>
      <c r="D11" s="21"/>
      <c r="E11" s="18" t="s">
        <v>91</v>
      </c>
    </row>
    <row r="12" spans="1:5" x14ac:dyDescent="0.25">
      <c r="A12" s="2"/>
      <c r="B12" s="2"/>
      <c r="C12" s="2"/>
      <c r="D12" s="2"/>
      <c r="E12" s="2"/>
    </row>
    <row r="13" spans="1:5" ht="30.75" customHeight="1" x14ac:dyDescent="0.25">
      <c r="A13" s="4" t="s">
        <v>136</v>
      </c>
      <c r="B13" s="5"/>
      <c r="C13" s="5"/>
      <c r="D13" s="5"/>
      <c r="E13" s="5"/>
    </row>
    <row r="14" spans="1:5" ht="16.5" customHeight="1" x14ac:dyDescent="0.25">
      <c r="A14" s="11" t="s">
        <v>60</v>
      </c>
      <c r="B14" s="11" t="s">
        <v>68</v>
      </c>
      <c r="C14" s="11" t="s">
        <v>92</v>
      </c>
      <c r="D14" s="11" t="s">
        <v>93</v>
      </c>
      <c r="E14" s="11" t="s">
        <v>69</v>
      </c>
    </row>
    <row r="15" spans="1:5" ht="26.25" customHeight="1" x14ac:dyDescent="0.25">
      <c r="A15" s="6" t="s">
        <v>94</v>
      </c>
      <c r="B15" s="7">
        <v>60</v>
      </c>
      <c r="C15" s="16">
        <f>IF(AND(①기본정보!$B$7&lt;=8000,①기본정보!$B$18="Y",①기본정보!$B$19="Y"), IF(①기본정보!$B$7&lt;=5500,0.187,0.165), 0)</f>
        <v>0.16500000000000001</v>
      </c>
      <c r="D15" s="17">
        <f>MIN(B15*12,1000)*C15</f>
        <v>118.80000000000001</v>
      </c>
      <c r="E15" s="18" t="s">
        <v>137</v>
      </c>
    </row>
    <row r="16" spans="1:5" x14ac:dyDescent="0.25">
      <c r="A16" s="2"/>
      <c r="B16" s="2"/>
      <c r="C16" s="2"/>
      <c r="D16" s="2"/>
      <c r="E16" s="2"/>
    </row>
    <row r="17" spans="1:5" ht="15.75" customHeight="1" x14ac:dyDescent="0.25">
      <c r="A17" s="4" t="s">
        <v>138</v>
      </c>
      <c r="B17" s="5"/>
      <c r="C17" s="5"/>
      <c r="D17" s="5"/>
      <c r="E17" s="5"/>
    </row>
    <row r="18" spans="1:5" ht="16.5" customHeight="1" x14ac:dyDescent="0.25">
      <c r="A18" s="11" t="s">
        <v>60</v>
      </c>
      <c r="B18" s="11" t="s">
        <v>95</v>
      </c>
      <c r="C18" s="11" t="s">
        <v>96</v>
      </c>
      <c r="D18" s="11" t="s">
        <v>93</v>
      </c>
      <c r="E18" s="11" t="s">
        <v>39</v>
      </c>
    </row>
    <row r="19" spans="1:5" ht="15" customHeight="1" x14ac:dyDescent="0.25">
      <c r="A19" s="6" t="s">
        <v>97</v>
      </c>
      <c r="B19" s="7">
        <v>100</v>
      </c>
      <c r="C19" s="22" t="str">
        <f>"한도 100"</f>
        <v>한도 100</v>
      </c>
      <c r="D19" s="17">
        <f>MIN(B19,100)*0.132</f>
        <v>13.200000000000001</v>
      </c>
      <c r="E19" s="18" t="s">
        <v>139</v>
      </c>
    </row>
    <row r="20" spans="1:5" ht="26.25" customHeight="1" x14ac:dyDescent="0.25">
      <c r="A20" s="6" t="s">
        <v>98</v>
      </c>
      <c r="B20" s="7">
        <v>100</v>
      </c>
      <c r="C20" s="22" t="str">
        <f>"문턱 "&amp;TEXT(①기본정보!$B$7*0.03,"#,##0")</f>
        <v>문턱 197</v>
      </c>
      <c r="D20" s="17">
        <f>MAX(0, MIN(B20-①기본정보!$B$7*0.03, 700))*0.165</f>
        <v>0</v>
      </c>
      <c r="E20" s="18" t="s">
        <v>99</v>
      </c>
    </row>
    <row r="21" spans="1:5" ht="15" customHeight="1" x14ac:dyDescent="0.25">
      <c r="A21" s="6" t="s">
        <v>100</v>
      </c>
      <c r="B21" s="7">
        <v>0</v>
      </c>
      <c r="C21" s="22" t="str">
        <f>"한도 없음"</f>
        <v>한도 없음</v>
      </c>
      <c r="D21" s="17">
        <f>B21*0.165</f>
        <v>0</v>
      </c>
      <c r="E21" s="18" t="s">
        <v>101</v>
      </c>
    </row>
    <row r="22" spans="1:5" ht="15" customHeight="1" x14ac:dyDescent="0.25">
      <c r="A22" s="6" t="s">
        <v>102</v>
      </c>
      <c r="B22" s="7">
        <v>10</v>
      </c>
      <c r="C22" s="22" t="str">
        <f>"10만 전액"</f>
        <v>10만 전액</v>
      </c>
      <c r="D22" s="17">
        <f>MIN(B22,10)</f>
        <v>10</v>
      </c>
      <c r="E22" s="18" t="s">
        <v>140</v>
      </c>
    </row>
    <row r="23" spans="1:5" ht="15" customHeight="1" x14ac:dyDescent="0.25">
      <c r="A23" s="6" t="s">
        <v>103</v>
      </c>
      <c r="B23" s="7">
        <v>0</v>
      </c>
      <c r="C23" s="22" t="str">
        <f>"15%(1천만↓)"</f>
        <v>15%(1천만↓)</v>
      </c>
      <c r="D23" s="17">
        <f>B23*0.165</f>
        <v>0</v>
      </c>
      <c r="E23" s="18" t="s">
        <v>104</v>
      </c>
    </row>
    <row r="24" spans="1:5" ht="29.25" customHeight="1" x14ac:dyDescent="0.25">
      <c r="A24" s="6" t="s">
        <v>105</v>
      </c>
      <c r="B24" s="21"/>
      <c r="C24" s="21"/>
      <c r="D24" s="17">
        <f>IF(①기본정보!$B$22="Y",50,0)</f>
        <v>0</v>
      </c>
      <c r="E24" s="18" t="s">
        <v>106</v>
      </c>
    </row>
    <row r="25" spans="1:5" x14ac:dyDescent="0.25">
      <c r="A25" s="2"/>
      <c r="B25" s="2"/>
      <c r="C25" s="2"/>
      <c r="D25" s="2"/>
      <c r="E25" s="2"/>
    </row>
    <row r="26" spans="1:5" ht="29.25" customHeight="1" x14ac:dyDescent="0.25">
      <c r="A26" s="9" t="s">
        <v>107</v>
      </c>
      <c r="B26" s="23"/>
      <c r="C26" s="23"/>
      <c r="D26" s="10">
        <f>B9+D15+SUM(D19:D24)</f>
        <v>260.8</v>
      </c>
      <c r="E26" s="21"/>
    </row>
    <row r="27" spans="1:5" x14ac:dyDescent="0.25">
      <c r="A27" s="2"/>
      <c r="B27" s="2"/>
      <c r="C27" s="2"/>
      <c r="D27" s="2"/>
      <c r="E27" s="2"/>
    </row>
    <row r="28" spans="1:5" ht="15" customHeight="1" x14ac:dyDescent="0.25">
      <c r="A28" s="3" t="s">
        <v>108</v>
      </c>
      <c r="B28" s="2"/>
      <c r="C28" s="2"/>
      <c r="D28" s="2"/>
      <c r="E28" s="2"/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showGridLines="0" topLeftCell="A6" zoomScaleNormal="100" workbookViewId="0">
      <selection activeCell="A37" sqref="A37"/>
    </sheetView>
  </sheetViews>
  <sheetFormatPr defaultColWidth="8.7109375" defaultRowHeight="15" x14ac:dyDescent="0.25"/>
  <cols>
    <col min="1" max="1" width="42.140625" customWidth="1"/>
    <col min="2" max="2" width="16" customWidth="1"/>
    <col min="3" max="3" width="14" customWidth="1"/>
    <col min="4" max="4" width="54" customWidth="1"/>
    <col min="5" max="5" width="4" customWidth="1"/>
  </cols>
  <sheetData>
    <row r="1" spans="1:4" ht="18" x14ac:dyDescent="0.25">
      <c r="A1" s="1" t="s">
        <v>141</v>
      </c>
      <c r="B1" s="2"/>
      <c r="C1" s="2"/>
      <c r="D1" s="2"/>
    </row>
    <row r="2" spans="1:4" x14ac:dyDescent="0.25">
      <c r="A2" s="3" t="s">
        <v>142</v>
      </c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4" t="s">
        <v>143</v>
      </c>
      <c r="B4" s="5"/>
      <c r="C4" s="5"/>
      <c r="D4" s="5"/>
    </row>
    <row r="5" spans="1:4" x14ac:dyDescent="0.25">
      <c r="A5" s="6" t="s">
        <v>109</v>
      </c>
      <c r="B5" s="17">
        <f>①기본정보!$B$7</f>
        <v>6560</v>
      </c>
      <c r="C5" s="2"/>
      <c r="D5" s="8" t="s">
        <v>110</v>
      </c>
    </row>
    <row r="6" spans="1:4" x14ac:dyDescent="0.25">
      <c r="A6" s="6" t="s">
        <v>144</v>
      </c>
      <c r="B6" s="17">
        <f>IF(B5&lt;=500,B5*0.7,IF(B5&lt;=1500,350+(B5-500)*0.4,IF(B5&lt;=4500,750+(B5-1500)*0.15,IF(B5&lt;=10000,1200+(B5-4500)*0.05,1475+(B5-10000)*0.02))))</f>
        <v>1303</v>
      </c>
      <c r="C6" s="2"/>
      <c r="D6" s="8" t="s">
        <v>111</v>
      </c>
    </row>
    <row r="7" spans="1:4" x14ac:dyDescent="0.25">
      <c r="A7" s="6" t="s">
        <v>145</v>
      </c>
      <c r="B7" s="17">
        <f>B5*0.045</f>
        <v>295.2</v>
      </c>
      <c r="C7" s="2"/>
      <c r="D7" s="8" t="s">
        <v>112</v>
      </c>
    </row>
    <row r="8" spans="1:4" x14ac:dyDescent="0.25">
      <c r="A8" s="6" t="s">
        <v>146</v>
      </c>
      <c r="B8" s="17">
        <f>②소득공제!D31</f>
        <v>685</v>
      </c>
      <c r="C8" s="2"/>
      <c r="D8" s="8" t="s">
        <v>113</v>
      </c>
    </row>
    <row r="9" spans="1:4" x14ac:dyDescent="0.25">
      <c r="A9" s="6" t="s">
        <v>114</v>
      </c>
      <c r="B9" s="17">
        <f>MAX(0,B5-B6-B7-B8)</f>
        <v>4276.8</v>
      </c>
      <c r="C9" s="2"/>
      <c r="D9" s="8"/>
    </row>
    <row r="10" spans="1:4" x14ac:dyDescent="0.25">
      <c r="A10" s="6" t="s">
        <v>147</v>
      </c>
      <c r="B10" s="17">
        <f>IF(B9&lt;=1400,B9*0.06,IF(B9&lt;=5000,84+(B9-1400)*0.15,IF(B9&lt;=8800,624+(B9-5000)*0.24,1536+(B9-8800)*0.35)))</f>
        <v>515.52</v>
      </c>
      <c r="C10" s="2"/>
      <c r="D10" s="8" t="s">
        <v>148</v>
      </c>
    </row>
    <row r="11" spans="1:4" x14ac:dyDescent="0.25">
      <c r="A11" s="6" t="s">
        <v>149</v>
      </c>
      <c r="B11" s="17">
        <f>③세액공제!D26</f>
        <v>260.8</v>
      </c>
      <c r="C11" s="2"/>
      <c r="D11" s="8" t="s">
        <v>115</v>
      </c>
    </row>
    <row r="12" spans="1:4" x14ac:dyDescent="0.25">
      <c r="A12" s="6" t="s">
        <v>150</v>
      </c>
      <c r="B12" s="17">
        <f>MAX(0,B10-B11)</f>
        <v>254.71999999999997</v>
      </c>
      <c r="C12" s="2"/>
      <c r="D12" s="8" t="s">
        <v>151</v>
      </c>
    </row>
    <row r="13" spans="1:4" x14ac:dyDescent="0.25">
      <c r="A13" s="9" t="s">
        <v>152</v>
      </c>
      <c r="B13" s="25">
        <f>IF(B9&lt;=1400,0.066,IF(B9&lt;=5000,0.165,IF(B9&lt;=8800,0.264,0.385)))</f>
        <v>0.16500000000000001</v>
      </c>
      <c r="C13" s="2"/>
      <c r="D13" s="8" t="s">
        <v>153</v>
      </c>
    </row>
    <row r="14" spans="1:4" x14ac:dyDescent="0.25">
      <c r="A14" s="2"/>
      <c r="B14" s="2"/>
      <c r="C14" s="2"/>
      <c r="D14" s="2"/>
    </row>
    <row r="15" spans="1:4" x14ac:dyDescent="0.25">
      <c r="A15" s="4" t="s">
        <v>154</v>
      </c>
      <c r="B15" s="5"/>
      <c r="C15" s="5"/>
      <c r="D15" s="5"/>
    </row>
    <row r="16" spans="1:4" ht="24" x14ac:dyDescent="0.25">
      <c r="A16" s="6" t="s">
        <v>155</v>
      </c>
      <c r="B16" s="7">
        <v>380</v>
      </c>
      <c r="C16" s="2"/>
      <c r="D16" s="8" t="s">
        <v>156</v>
      </c>
    </row>
    <row r="17" spans="1:4" ht="15.75" x14ac:dyDescent="0.25">
      <c r="A17" s="9" t="s">
        <v>157</v>
      </c>
      <c r="B17" s="26">
        <f>B16-B12</f>
        <v>125.28000000000003</v>
      </c>
      <c r="C17" s="2"/>
      <c r="D17" s="8" t="s">
        <v>158</v>
      </c>
    </row>
    <row r="18" spans="1:4" x14ac:dyDescent="0.25">
      <c r="A18" s="6" t="s">
        <v>9</v>
      </c>
      <c r="B18" s="27" t="str">
        <f>IF(B17&gt;=0,"환급 예상 ✓","추가 납부 예상 ⚠")</f>
        <v>환급 예상 ✓</v>
      </c>
      <c r="C18" s="2"/>
      <c r="D18" s="8" t="s">
        <v>159</v>
      </c>
    </row>
    <row r="19" spans="1:4" ht="24" x14ac:dyDescent="0.25">
      <c r="A19" s="6" t="s">
        <v>160</v>
      </c>
      <c r="B19" s="28">
        <f>B17*1.1</f>
        <v>137.80800000000005</v>
      </c>
      <c r="C19" s="2"/>
      <c r="D19" s="8" t="s">
        <v>161</v>
      </c>
    </row>
    <row r="20" spans="1:4" x14ac:dyDescent="0.25">
      <c r="A20" s="2"/>
      <c r="B20" s="2"/>
      <c r="C20" s="2"/>
      <c r="D20" s="2"/>
    </row>
    <row r="21" spans="1:4" x14ac:dyDescent="0.25">
      <c r="A21" s="4" t="s">
        <v>162</v>
      </c>
      <c r="B21" s="5"/>
      <c r="C21" s="5"/>
      <c r="D21" s="5"/>
    </row>
    <row r="22" spans="1:4" x14ac:dyDescent="0.25">
      <c r="A22" s="11" t="s">
        <v>116</v>
      </c>
      <c r="B22" s="11" t="s">
        <v>117</v>
      </c>
      <c r="C22" s="11" t="s">
        <v>118</v>
      </c>
      <c r="D22" s="11" t="s">
        <v>119</v>
      </c>
    </row>
    <row r="23" spans="1:4" x14ac:dyDescent="0.25">
      <c r="A23" s="6" t="s">
        <v>163</v>
      </c>
      <c r="B23" s="17">
        <f>③세액공제!B10</f>
        <v>0</v>
      </c>
      <c r="C23" s="17">
        <f>③세액공제!B11</f>
        <v>0</v>
      </c>
      <c r="D23" s="14" t="s">
        <v>164</v>
      </c>
    </row>
    <row r="24" spans="1:4" x14ac:dyDescent="0.25">
      <c r="A24" s="6" t="s">
        <v>120</v>
      </c>
      <c r="B24" s="17">
        <f>MAX(0,②소득공제!C12-②소득공제!B12)</f>
        <v>0</v>
      </c>
      <c r="C24" s="17" t="str">
        <f>"-"</f>
        <v>-</v>
      </c>
      <c r="D24" s="14" t="s">
        <v>121</v>
      </c>
    </row>
    <row r="25" spans="1:4" x14ac:dyDescent="0.25">
      <c r="A25" s="6" t="s">
        <v>165</v>
      </c>
      <c r="B25" s="17">
        <f>IF(②소득공제!C21="○",MAX(0,300-②소득공제!B21),0)</f>
        <v>60</v>
      </c>
      <c r="C25" s="17">
        <f>B25*0.4*B13</f>
        <v>3.96</v>
      </c>
      <c r="D25" s="14" t="s">
        <v>166</v>
      </c>
    </row>
    <row r="26" spans="1:4" x14ac:dyDescent="0.25">
      <c r="A26" s="6" t="s">
        <v>167</v>
      </c>
      <c r="B26" s="17">
        <f>MAX(0,10-③세액공제!B22)</f>
        <v>0</v>
      </c>
      <c r="C26" s="17">
        <f>B26</f>
        <v>0</v>
      </c>
      <c r="D26" s="14" t="s">
        <v>122</v>
      </c>
    </row>
    <row r="27" spans="1:4" x14ac:dyDescent="0.25">
      <c r="A27" s="2"/>
      <c r="B27" s="2"/>
      <c r="C27" s="2"/>
      <c r="D27" s="2"/>
    </row>
    <row r="28" spans="1:4" ht="27" x14ac:dyDescent="0.25">
      <c r="A28" s="4" t="s">
        <v>168</v>
      </c>
      <c r="B28" s="5"/>
      <c r="C28" s="5"/>
      <c r="D28" s="5"/>
    </row>
    <row r="29" spans="1:4" ht="15" customHeight="1" x14ac:dyDescent="0.25">
      <c r="A29" s="29" t="s">
        <v>169</v>
      </c>
      <c r="B29" s="29"/>
      <c r="C29" s="29"/>
      <c r="D29" s="29"/>
    </row>
    <row r="30" spans="1:4" ht="15" customHeight="1" x14ac:dyDescent="0.25">
      <c r="A30" s="29" t="s">
        <v>170</v>
      </c>
      <c r="B30" s="29"/>
      <c r="C30" s="29"/>
      <c r="D30" s="29"/>
    </row>
    <row r="31" spans="1:4" ht="15" customHeight="1" x14ac:dyDescent="0.25">
      <c r="A31" s="29" t="s">
        <v>171</v>
      </c>
      <c r="B31" s="29"/>
      <c r="C31" s="29"/>
      <c r="D31" s="29"/>
    </row>
    <row r="32" spans="1:4" ht="15" customHeight="1" x14ac:dyDescent="0.25">
      <c r="A32" s="29" t="s">
        <v>172</v>
      </c>
      <c r="B32" s="29"/>
      <c r="C32" s="29"/>
      <c r="D32" s="29"/>
    </row>
    <row r="33" spans="1:4" ht="15" customHeight="1" x14ac:dyDescent="0.25">
      <c r="A33" s="29" t="s">
        <v>173</v>
      </c>
      <c r="B33" s="29"/>
      <c r="C33" s="29"/>
      <c r="D33" s="29"/>
    </row>
    <row r="34" spans="1:4" ht="15" customHeight="1" x14ac:dyDescent="0.25">
      <c r="A34" s="29" t="s">
        <v>174</v>
      </c>
      <c r="B34" s="29"/>
      <c r="C34" s="29"/>
      <c r="D34" s="29"/>
    </row>
    <row r="35" spans="1:4" ht="15" customHeight="1" x14ac:dyDescent="0.25">
      <c r="A35" s="29" t="s">
        <v>175</v>
      </c>
      <c r="B35" s="29"/>
      <c r="C35" s="29"/>
      <c r="D35" s="29"/>
    </row>
    <row r="36" spans="1:4" x14ac:dyDescent="0.25">
      <c r="A36" s="2"/>
      <c r="B36" s="2"/>
      <c r="C36" s="2"/>
      <c r="D36" s="2"/>
    </row>
    <row r="37" spans="1:4" x14ac:dyDescent="0.25">
      <c r="A37" s="3" t="s">
        <v>176</v>
      </c>
      <c r="B37" s="2"/>
      <c r="C37" s="2"/>
      <c r="D37" s="2"/>
    </row>
  </sheetData>
  <mergeCells count="7">
    <mergeCell ref="A34:D34"/>
    <mergeCell ref="A35:D35"/>
    <mergeCell ref="A29:D29"/>
    <mergeCell ref="A30:D30"/>
    <mergeCell ref="A31:D31"/>
    <mergeCell ref="A32:D32"/>
    <mergeCell ref="A33:D33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①기본정보</vt:lpstr>
      <vt:lpstr>②소득공제</vt:lpstr>
      <vt:lpstr>③세액공제</vt:lpstr>
      <vt:lpstr>④결과요약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박승현</cp:lastModifiedBy>
  <cp:revision>0</cp:revision>
  <dcterms:created xsi:type="dcterms:W3CDTF">2026-08-07T07:31:57Z</dcterms:created>
  <dcterms:modified xsi:type="dcterms:W3CDTF">2026-08-07T11:58:01Z</dcterms:modified>
  <dc:language>en-US</dc:language>
</cp:coreProperties>
</file>